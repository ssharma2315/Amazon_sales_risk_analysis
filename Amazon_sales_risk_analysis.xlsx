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A4CE25E-13F5-487E-9C2D-11E2DB03AEFD}" xr6:coauthVersionLast="47" xr6:coauthVersionMax="47" xr10:uidLastSave="{00000000-0000-0000-0000-000000000000}"/>
  <bookViews>
    <workbookView xWindow="-120" yWindow="-120" windowWidth="20730" windowHeight="11160" xr2:uid="{B1DB1150-18EC-4E87-801C-3512EFD4A532}"/>
  </bookViews>
  <sheets>
    <sheet name="Category_pivot_tbl" sheetId="6" r:id="rId1"/>
    <sheet name="Category_data" sheetId="2" r:id="rId2"/>
    <sheet name="pre_delivery_losses" sheetId="3" r:id="rId3"/>
    <sheet name="post_delivery_losses" sheetId="4" r:id="rId4"/>
    <sheet name="risk_summary_dashboard" sheetId="5" r:id="rId5"/>
    <sheet name="pivot_loss_drivers" sheetId="8" r:id="rId6"/>
    <sheet name="Consolidated_losses" sheetId="7" r:id="rId7"/>
  </sheets>
  <definedNames>
    <definedName name="ExternalData_1" localSheetId="1" hidden="1">Category_data!$A$1:$G$9</definedName>
    <definedName name="ExternalData_1" localSheetId="6" hidden="1">Consolidated_losses!$A$1:$E$9</definedName>
    <definedName name="ExternalData_1" localSheetId="3" hidden="1">post_delivery_losses!$A$1:$E$4</definedName>
    <definedName name="ExternalData_1" localSheetId="2" hidden="1">pre_delivery_losses!$A$1:$E$6</definedName>
    <definedName name="ExternalData_1" localSheetId="4" hidden="1">'risk_summary_dashboard'!$A$1:$C$7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20CC9-5282-4E24-AB6A-BC535C8E7176}" keepAlive="1" name="Query - category_failure_analysis" description="Connection to the 'category_failure_analysis' query in the workbook." type="5" refreshedVersion="8" background="1" saveData="1">
    <dbPr connection="Provider=Microsoft.Mashup.OleDb.1;Data Source=$Workbook$;Location=category_failure_analysis;Extended Properties=&quot;&quot;" command="SELECT * FROM [category_failure_analysis]"/>
  </connection>
  <connection id="2" xr16:uid="{02AD0BD3-7DA1-4284-BCCF-129AA8A97EE0}" keepAlive="1" name="Query - post_delivery_losses" description="Connection to the 'post_delivery_losses' query in the workbook." type="5" refreshedVersion="8" background="1" saveData="1">
    <dbPr connection="Provider=Microsoft.Mashup.OleDb.1;Data Source=$Workbook$;Location=post_delivery_losses;Extended Properties=&quot;&quot;" command="SELECT * FROM [post_delivery_losses]"/>
  </connection>
  <connection id="3" xr16:uid="{925DB415-7A4B-4F72-A176-FA7DA08F432E}" keepAlive="1" name="Query - pre_delivery_losses" description="Connection to the 'pre_delivery_losses' query in the workbook." type="5" refreshedVersion="8" background="1" saveData="1">
    <dbPr connection="Provider=Microsoft.Mashup.OleDb.1;Data Source=$Workbook$;Location=pre_delivery_losses;Extended Properties=&quot;&quot;" command="SELECT * FROM [pre_delivery_losses]"/>
  </connection>
  <connection id="4" xr16:uid="{5B297D55-27A8-429F-A5A5-45C293E10D88}" keepAlive="1" name="Query - pre_delivery_losses (2)" description="Connection to the 'pre_delivery_losses (2)' query in the workbook." type="5" refreshedVersion="8" background="1" saveData="1">
    <dbPr connection="Provider=Microsoft.Mashup.OleDb.1;Data Source=$Workbook$;Location=&quot;pre_delivery_losses (2)&quot;;Extended Properties=&quot;&quot;" command="SELECT * FROM [pre_delivery_losses (2)]"/>
  </connection>
  <connection id="5" xr16:uid="{1E261BC4-3737-4DA4-81A1-81EDBC390F2D}" keepAlive="1" name="Query - risk_summary_dashboard" description="Connection to the 'risk_summary_dashboard' query in the workbook." type="5" refreshedVersion="8" background="1" saveData="1">
    <dbPr connection="Provider=Microsoft.Mashup.OleDb.1;Data Source=$Workbook$;Location=risk_summary_dashboard;Extended Properties=&quot;&quot;" command="SELECT * FROM [risk_summary_dashboard]"/>
  </connection>
</connections>
</file>

<file path=xl/sharedStrings.xml><?xml version="1.0" encoding="utf-8"?>
<sst xmlns="http://schemas.openxmlformats.org/spreadsheetml/2006/main" count="101" uniqueCount="58">
  <si>
    <t>category</t>
  </si>
  <si>
    <t>Western Dress</t>
  </si>
  <si>
    <t>Bottom</t>
  </si>
  <si>
    <t>Set</t>
  </si>
  <si>
    <t>kurta</t>
  </si>
  <si>
    <t>Blouse</t>
  </si>
  <si>
    <t>Top</t>
  </si>
  <si>
    <t>Ethnic Dress</t>
  </si>
  <si>
    <t>Saree</t>
  </si>
  <si>
    <t>status</t>
  </si>
  <si>
    <t>problem_order_count</t>
  </si>
  <si>
    <t>avg_order_value</t>
  </si>
  <si>
    <t>percent_of_total_revenue(%)</t>
  </si>
  <si>
    <t>Cancelled</t>
  </si>
  <si>
    <t>Pending</t>
  </si>
  <si>
    <t>Pending - Waiting for Pick Up</t>
  </si>
  <si>
    <t>Shipped - Rejected by Buyer</t>
  </si>
  <si>
    <t>Shipped - Lost in Transit</t>
  </si>
  <si>
    <t>lost_revenue</t>
  </si>
  <si>
    <t>Shipped - Returned to Seller</t>
  </si>
  <si>
    <t>Shipped - Returning to Seller</t>
  </si>
  <si>
    <t>Shipped - Damaged</t>
  </si>
  <si>
    <t>risk_metric</t>
  </si>
  <si>
    <t>value</t>
  </si>
  <si>
    <t>impact</t>
  </si>
  <si>
    <t>In-Transit Risk Exposure (₹)</t>
  </si>
  <si>
    <t>₹51.6M at risk - only 73% will deliver successfully</t>
  </si>
  <si>
    <t>Total Post-Delivery Losses (₹)</t>
  </si>
  <si>
    <t>Revenue lost after shipment (higher cost)</t>
  </si>
  <si>
    <t>Delivery Success Rate (%)</t>
  </si>
  <si>
    <t>Only 73% of orders complete successfully</t>
  </si>
  <si>
    <t>Total Pre-Delivery Losses (₹)</t>
  </si>
  <si>
    <t>Revenue lost before shipment</t>
  </si>
  <si>
    <t>Total Risk-Adjusted Revenue (₹)</t>
  </si>
  <si>
    <t>Realistic revenue after accounting for failure risk</t>
  </si>
  <si>
    <t>Expected Loss from In-Transit (₹)</t>
  </si>
  <si>
    <t>Predicted failures based on 27% historical failure rate</t>
  </si>
  <si>
    <t>Total_revenue</t>
  </si>
  <si>
    <t>Total_failure_rate_percent(%)</t>
  </si>
  <si>
    <t>Post_delivery_failures</t>
  </si>
  <si>
    <t>Pre_delivery_failures</t>
  </si>
  <si>
    <t>Successful_deliveries</t>
  </si>
  <si>
    <t>Total_orders</t>
  </si>
  <si>
    <t>Column1</t>
  </si>
  <si>
    <t>Row Labels</t>
  </si>
  <si>
    <t>Grand Total</t>
  </si>
  <si>
    <t>Sum of Total_orders</t>
  </si>
  <si>
    <t>Sum of Successful_deliveries</t>
  </si>
  <si>
    <t>Sum of Total_failure_rate_percent(%)</t>
  </si>
  <si>
    <t>Sum of Total_revenue</t>
  </si>
  <si>
    <t>_</t>
  </si>
  <si>
    <t>Sum of Rev_per_successful_order</t>
  </si>
  <si>
    <t>source</t>
  </si>
  <si>
    <t>pre-delivery</t>
  </si>
  <si>
    <t>post-delivery</t>
  </si>
  <si>
    <t>(All)</t>
  </si>
  <si>
    <t>Sum of lost_revenue</t>
  </si>
  <si>
    <t>Sum of problem_order_count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</si>
</sst>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[$₹-439]* #,##0.00_ ;_ [$₹-439]* \-#,##0.00_ ;_ [$₹-439]* &quot;-&quot;??_ ;_ @_ "/>
    <numFmt numFmtId="165" formatCode="[$₹-439]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0" fillId="0" borderId="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</cellXfs>
  <cellStyles count="2">
    <cellStyle name="Currency" xfId="1" builtinId="4"/>
    <cellStyle name="Normal" xfId="0" builtinId="0"/>
  </cellStyles>
  <dxfs count="22">
    <dxf>
      <numFmt numFmtId="165" formatCode="[$₹-439]#,##0.00"/>
    </dxf>
    <dxf>
      <numFmt numFmtId="165" formatCode="[$₹-439]#,##0.00"/>
    </dxf>
    <dxf>
      <numFmt numFmtId="165" formatCode="[$₹-439]#,##0.00"/>
    </dxf>
    <dxf>
      <numFmt numFmtId="165" formatCode="[$₹-439]#,##0.00"/>
    </dxf>
    <dxf>
      <numFmt numFmtId="165" formatCode="[$₹-439]#,##0.00"/>
    </dxf>
    <dxf>
      <numFmt numFmtId="165" formatCode="[$₹-439]#,##0.00"/>
    </dxf>
    <dxf>
      <numFmt numFmtId="0" formatCode="General"/>
    </dxf>
    <dxf>
      <numFmt numFmtId="165" formatCode="[$₹-439]#,##0.00"/>
    </dxf>
    <dxf>
      <numFmt numFmtId="165" formatCode="[$₹-439]#,##0.00"/>
    </dxf>
    <dxf>
      <numFmt numFmtId="165" formatCode="[$₹-439]#,##0.00"/>
    </dxf>
    <dxf>
      <numFmt numFmtId="0" formatCode="General"/>
    </dxf>
    <dxf>
      <numFmt numFmtId="165" formatCode="[$₹-439]#,##0.00"/>
    </dxf>
    <dxf>
      <numFmt numFmtId="0" formatCode="General"/>
    </dxf>
    <dxf>
      <numFmt numFmtId="165" formatCode="[$₹-439]#,##0.00"/>
    </dxf>
    <dxf>
      <numFmt numFmtId="165" formatCode="[$₹-439]#,##0.00"/>
    </dxf>
    <dxf>
      <numFmt numFmtId="0" formatCode="General"/>
    </dxf>
    <dxf>
      <numFmt numFmtId="165" formatCode="[$₹-439]#,##0.00"/>
    </dxf>
    <dxf>
      <numFmt numFmtId="0" formatCode="General"/>
    </dxf>
    <dxf>
      <numFmt numFmtId="165" formatCode="[$₹-439]#,##0.00"/>
    </dxf>
    <dxf>
      <numFmt numFmtId="165" formatCode="[$₹-439]#,##0.00"/>
    </dxf>
    <dxf>
      <numFmt numFmtId="0" formatCode="General"/>
    </dxf>
    <dxf>
      <numFmt numFmtId="165" formatCode="[$₹-43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9.674519791668" createdVersion="8" refreshedVersion="8" minRefreshableVersion="3" recordCount="8" xr:uid="{D5DC2F23-016E-41C0-96D2-8BC7F4183D87}">
  <cacheSource type="worksheet">
    <worksheetSource name="category_failure_analysis"/>
  </cacheSource>
  <cacheFields count="9">
    <cacheField name="category" numFmtId="0">
      <sharedItems count="8">
        <s v="Western Dress"/>
        <s v="Bottom"/>
        <s v="Set"/>
        <s v="kurta"/>
        <s v="Blouse"/>
        <s v="Top"/>
        <s v="Ethnic Dress"/>
        <s v="Saree"/>
      </sharedItems>
    </cacheField>
    <cacheField name="Total_orders" numFmtId="0">
      <sharedItems containsSemiMixedTypes="0" containsString="0" containsNumber="1" containsInteger="1" minValue="155" maxValue="47042"/>
    </cacheField>
    <cacheField name="Successful_deliveries" numFmtId="0">
      <sharedItems containsSemiMixedTypes="0" containsString="0" containsNumber="1" containsInteger="1" minValue="22" maxValue="10641"/>
    </cacheField>
    <cacheField name="Pre_delivery_failures" numFmtId="0">
      <sharedItems containsSemiMixedTypes="0" containsString="0" containsNumber="1" containsInteger="1" minValue="12" maxValue="4207"/>
    </cacheField>
    <cacheField name="Post_delivery_failures" numFmtId="0">
      <sharedItems containsSemiMixedTypes="0" containsString="0" containsNumber="1" containsInteger="1" minValue="1" maxValue="838"/>
    </cacheField>
    <cacheField name="Total_failure_rate_percent(%)" numFmtId="0">
      <sharedItems containsSemiMixedTypes="0" containsString="0" containsNumber="1" minValue="8.39" maxValue="11.42"/>
    </cacheField>
    <cacheField name="Total_revenue" numFmtId="165">
      <sharedItems containsSemiMixedTypes="0" containsString="0" containsNumber="1" minValue="123933.75999999999" maxValue="39204124.030000001"/>
    </cacheField>
    <cacheField name="Column1" numFmtId="165">
      <sharedItems containsNonDate="0" containsString="0" containsBlank="1"/>
    </cacheField>
    <cacheField name="Rev_per_successful_order" numFmtId="0" formula="Total_revenue/Successful_deliveri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89.686121064813" createdVersion="8" refreshedVersion="8" minRefreshableVersion="3" recordCount="8" xr:uid="{C23E578D-358C-4F59-9713-79C23C09E308}">
  <cacheSource type="worksheet">
    <worksheetSource name="pre_delivery_losses6"/>
  </cacheSource>
  <cacheFields count="6">
    <cacheField name="status" numFmtId="0">
      <sharedItems count="8">
        <s v="Cancelled"/>
        <s v="Pending"/>
        <s v="Pending - Waiting for Pick Up"/>
        <s v="Shipped - Rejected by Buyer"/>
        <s v="Shipped - Lost in Transit"/>
        <s v="Shipped - Returned to Seller"/>
        <s v="Shipped - Returning to Seller"/>
        <s v="Shipped - Damaged"/>
      </sharedItems>
    </cacheField>
    <cacheField name="problem_order_count" numFmtId="0">
      <sharedItems containsSemiMixedTypes="0" containsString="0" containsNumber="1" containsInteger="1" minValue="1" maxValue="10766"/>
    </cacheField>
    <cacheField name="lost_revenue" numFmtId="165">
      <sharedItems containsSemiMixedTypes="0" containsString="0" containsNumber="1" minValue="1136" maxValue="6919284.2999999998"/>
    </cacheField>
    <cacheField name="avg_order_value" numFmtId="164">
      <sharedItems containsSemiMixedTypes="0" containsString="0" containsNumber="1" minValue="399.4" maxValue="1136"/>
    </cacheField>
    <cacheField name="percent_of_total_revenue(%)" numFmtId="0">
      <sharedItems containsSemiMixedTypes="0" containsString="0" containsNumber="1" minValue="0" maxValue="8.8000000000000007"/>
    </cacheField>
    <cacheField name="source" numFmtId="0">
      <sharedItems count="2">
        <s v="pre-delivery"/>
        <s v="post-delive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4704"/>
    <n v="5190"/>
    <n v="1337"/>
    <n v="342"/>
    <n v="11.42"/>
    <n v="11216072.689999999"/>
    <m/>
  </r>
  <r>
    <x v="1"/>
    <n v="420"/>
    <n v="139"/>
    <n v="41"/>
    <n v="6"/>
    <n v="11.19"/>
    <n v="150667.98000000001"/>
    <m/>
  </r>
  <r>
    <x v="2"/>
    <n v="47042"/>
    <n v="10641"/>
    <n v="4207"/>
    <n v="838"/>
    <n v="10.72"/>
    <n v="39204124.030000001"/>
    <m/>
  </r>
  <r>
    <x v="3"/>
    <n v="46717"/>
    <n v="10446"/>
    <n v="4199"/>
    <n v="750"/>
    <n v="10.59"/>
    <n v="21299546.699999999"/>
    <m/>
  </r>
  <r>
    <x v="4"/>
    <n v="881"/>
    <n v="169"/>
    <n v="75"/>
    <n v="12"/>
    <n v="9.8800000000000008"/>
    <n v="458408.18"/>
    <m/>
  </r>
  <r>
    <x v="5"/>
    <n v="10165"/>
    <n v="1920"/>
    <n v="831"/>
    <n v="131"/>
    <n v="9.4600000000000009"/>
    <n v="5347792.3"/>
    <m/>
  </r>
  <r>
    <x v="6"/>
    <n v="1093"/>
    <n v="234"/>
    <n v="80"/>
    <n v="16"/>
    <n v="8.7799999999999994"/>
    <n v="791217.66"/>
    <m/>
  </r>
  <r>
    <x v="7"/>
    <n v="155"/>
    <n v="22"/>
    <n v="12"/>
    <n v="1"/>
    <n v="8.39"/>
    <n v="123933.7599999999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0766"/>
    <n v="6919284.2999999998"/>
    <n v="642.70000000000005"/>
    <n v="8.8000000000000007"/>
    <x v="0"/>
  </r>
  <r>
    <x v="1"/>
    <n v="656"/>
    <n v="430271"/>
    <n v="655.9"/>
    <n v="0.55000000000000004"/>
    <x v="0"/>
  </r>
  <r>
    <x v="2"/>
    <n v="281"/>
    <n v="192138"/>
    <n v="683.77"/>
    <n v="0.24"/>
    <x v="0"/>
  </r>
  <r>
    <x v="3"/>
    <n v="11"/>
    <n v="7295"/>
    <n v="663.18"/>
    <n v="0.01"/>
    <x v="0"/>
  </r>
  <r>
    <x v="4"/>
    <n v="5"/>
    <n v="1997"/>
    <n v="399.4"/>
    <n v="0"/>
    <x v="0"/>
  </r>
  <r>
    <x v="5"/>
    <n v="1950"/>
    <n v="1269644"/>
    <n v="651.1"/>
    <n v="1.62"/>
    <x v="1"/>
  </r>
  <r>
    <x v="6"/>
    <n v="145"/>
    <n v="107620"/>
    <n v="742.21"/>
    <n v="0.14000000000000001"/>
    <x v="1"/>
  </r>
  <r>
    <x v="7"/>
    <n v="1"/>
    <n v="1136"/>
    <n v="1136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9DFFF-D996-4257-8C50-A4AC5B4C08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0" firstDataRow="1" firstDataCol="1"/>
  <pivotFields count="9">
    <pivotField axis="axisRow" showAll="0" sortType="descending">
      <items count="9">
        <item x="0"/>
        <item x="5"/>
        <item x="2"/>
        <item x="7"/>
        <item x="3"/>
        <item x="6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howAll="0"/>
    <pivotField dataField="1" showAll="0"/>
    <pivotField showAll="0"/>
    <pivotField showAll="0"/>
    <pivotField dataField="1" showAll="0"/>
    <pivotField dataField="1" numFmtId="165" showAll="0"/>
    <pivotField showAll="0"/>
    <pivotField dataField="1" dragToRow="0" dragToCol="0" dragToPage="0" showAll="0" defaultSubtotal="0"/>
  </pivotFields>
  <rowFields count="1">
    <field x="0"/>
  </rowFields>
  <rowItems count="9">
    <i>
      <x/>
    </i>
    <i>
      <x v="6"/>
    </i>
    <i>
      <x v="2"/>
    </i>
    <i>
      <x v="4"/>
    </i>
    <i>
      <x v="7"/>
    </i>
    <i>
      <x v="1"/>
    </i>
    <i>
      <x v="5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_revenue" fld="6" baseField="0" baseItem="0" numFmtId="165"/>
    <dataField name="Sum of Successful_deliveries" fld="2" baseField="0" baseItem="0"/>
    <dataField name="Sum of Total_orders" fld="1" baseField="0" baseItem="0"/>
    <dataField name="Sum of Total_failure_rate_percent(%)" fld="5" baseField="0" baseItem="0"/>
    <dataField name="Sum of Rev_per_successful_order" fld="8" baseField="0" baseItem="0"/>
  </dataFields>
  <formats count="3">
    <format dxfId="21">
      <pivotArea dataOnly="0" outline="0" fieldPosition="0">
        <references count="1">
          <reference field="4294967294" count="1">
            <x v="4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8E511-B0ED-41C7-9017-245160C762F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 rowPageCount="1" colPageCount="1"/>
  <pivotFields count="6">
    <pivotField axis="axisRow" showAll="0">
      <items count="9">
        <item x="0"/>
        <item x="1"/>
        <item x="2"/>
        <item x="7"/>
        <item x="4"/>
        <item x="3"/>
        <item x="5"/>
        <item x="6"/>
        <item t="default"/>
      </items>
    </pivotField>
    <pivotField dataField="1" showAll="0"/>
    <pivotField dataField="1" numFmtId="165" showAll="0"/>
    <pivotField numFmtId="164" showAll="0"/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lost_revenue" fld="2" baseField="0" baseItem="0" numFmtId="165"/>
    <dataField name="Sum of problem_order_count" fld="1" baseField="0" baseItem="0"/>
  </dataFields>
  <formats count="3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5" count="0"/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4C7061-815A-4364-BFA6-447231918A8A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ategory" tableColumnId="1"/>
      <queryTableField id="2" name="total_orders" tableColumnId="2"/>
      <queryTableField id="3" name="successful_deliveries" tableColumnId="3"/>
      <queryTableField id="4" name="pre_delivery_failures" tableColumnId="4"/>
      <queryTableField id="5" name="post_delivery_failures" tableColumnId="5"/>
      <queryTableField id="6" name="total_failure_rate_percent(%)" tableColumnId="6"/>
      <queryTableField id="7" name="total_revenue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D0F9525-9C37-4C65-A882-74E6268A50F8}" autoFormatId="16" applyNumberFormats="0" applyBorderFormats="0" applyFontFormats="0" applyPatternFormats="0" applyAlignmentFormats="0" applyWidthHeightFormats="0">
  <queryTableRefresh nextId="6">
    <queryTableFields count="5">
      <queryTableField id="1" name="status" tableColumnId="1"/>
      <queryTableField id="2" name="problem_order_count" tableColumnId="2"/>
      <queryTableField id="3" name="lost_revenue(Rs.)" tableColumnId="3"/>
      <queryTableField id="4" name="avg_order_value" tableColumnId="4"/>
      <queryTableField id="5" name="percent_of_total_revenue(%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881A0C-505D-4E6B-99D3-60789D108873}" autoFormatId="16" applyNumberFormats="0" applyBorderFormats="0" applyFontFormats="0" applyPatternFormats="0" applyAlignmentFormats="0" applyWidthHeightFormats="0">
  <queryTableRefresh nextId="6">
    <queryTableFields count="5">
      <queryTableField id="1" name="status" tableColumnId="1"/>
      <queryTableField id="2" name="problem_order_count" tableColumnId="2"/>
      <queryTableField id="3" name="lost_revenue" tableColumnId="3"/>
      <queryTableField id="4" name="avg_order_value" tableColumnId="4"/>
      <queryTableField id="5" name="percent_of_total_revenu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70834D3-617F-4E46-B835-63B1B2119B42}" autoFormatId="16" applyNumberFormats="0" applyBorderFormats="0" applyFontFormats="0" applyPatternFormats="0" applyAlignmentFormats="0" applyWidthHeightFormats="0">
  <queryTableRefresh nextId="4">
    <queryTableFields count="3">
      <queryTableField id="1" name="risk_metric" tableColumnId="1"/>
      <queryTableField id="2" name="value" tableColumnId="2"/>
      <queryTableField id="3" name="impac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8DA0E1-7858-4F6D-A05A-3CCA9D5B5565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tatus" tableColumnId="1"/>
      <queryTableField id="2" name="problem_order_count" tableColumnId="2"/>
      <queryTableField id="3" name="lost_revenue(Rs.)" tableColumnId="3"/>
      <queryTableField id="4" name="avg_order_value" tableColumnId="4"/>
      <queryTableField id="5" name="percent_of_total_revenue(%)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CDE6D-0271-4F86-BF04-7A02E9D8BCC9}" name="category_failure_analysis" displayName="category_failure_analysis" ref="A1:H9" tableType="queryTable" totalsRowShown="0">
  <autoFilter ref="A1:H9" xr:uid="{832CDE6D-0271-4F86-BF04-7A02E9D8BCC9}"/>
  <tableColumns count="8">
    <tableColumn id="1" xr3:uid="{998D5018-FFE8-4092-B131-BEE587B520E5}" uniqueName="1" name="category" queryTableFieldId="1" dataDxfId="20"/>
    <tableColumn id="2" xr3:uid="{909DED39-520C-45F9-8F90-101F69912F01}" uniqueName="2" name="Total_orders" queryTableFieldId="2"/>
    <tableColumn id="3" xr3:uid="{E1AE05E7-819E-4347-A18E-DEA3436E828E}" uniqueName="3" name="Successful_deliveries" queryTableFieldId="3"/>
    <tableColumn id="4" xr3:uid="{77BA0A53-6398-4DAF-A574-68801C125B8B}" uniqueName="4" name="Pre_delivery_failures" queryTableFieldId="4"/>
    <tableColumn id="5" xr3:uid="{4A49BC36-EFBB-4AD9-BD14-16E10F48BB7A}" uniqueName="5" name="Post_delivery_failures" queryTableFieldId="5"/>
    <tableColumn id="6" xr3:uid="{45FF2F52-01BA-425E-B0A7-E890DE371D97}" uniqueName="6" name="Total_failure_rate_percent(%)" queryTableFieldId="6"/>
    <tableColumn id="7" xr3:uid="{470A9500-1A11-4523-A3D5-0C574256ECE4}" uniqueName="7" name="Total_revenue" queryTableFieldId="7" dataDxfId="19"/>
    <tableColumn id="8" xr3:uid="{C5B91B27-E392-493A-BA9A-50AED4776AD0}" uniqueName="8" name="Column1" queryTableFieldId="8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EC9343-CB38-405E-91F3-266320E97320}" name="pre_delivery_losses" displayName="pre_delivery_losses" ref="A1:E6" tableType="queryTable" totalsRowShown="0">
  <autoFilter ref="A1:E6" xr:uid="{7AEC9343-CB38-405E-91F3-266320E97320}"/>
  <tableColumns count="5">
    <tableColumn id="1" xr3:uid="{9C89DA06-FD5F-4998-A67E-032A7180C8A2}" uniqueName="1" name="status" queryTableFieldId="1" dataDxfId="17"/>
    <tableColumn id="2" xr3:uid="{CCD6EADA-9688-421C-8ED0-F4B6F8B9A989}" uniqueName="2" name="problem_order_count" queryTableFieldId="2"/>
    <tableColumn id="3" xr3:uid="{BB0A55CF-C535-444C-9137-0F185ED1AFBB}" uniqueName="3" name="lost_revenue" queryTableFieldId="3" dataDxfId="16" dataCellStyle="Currency"/>
    <tableColumn id="4" xr3:uid="{0AF56D89-F436-49EA-976A-76D6CE787100}" uniqueName="4" name="avg_order_value" queryTableFieldId="4" dataDxfId="1"/>
    <tableColumn id="5" xr3:uid="{B8686EEA-50D2-4D92-BD84-FA705B54F508}" uniqueName="5" name="percent_of_total_revenue(%)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9E64E2-8882-4904-B51C-50EA73BC54F1}" name="post_delivery_losses" displayName="post_delivery_losses" ref="A1:E4" tableType="queryTable" totalsRowShown="0">
  <autoFilter ref="A1:E4" xr:uid="{429E64E2-8882-4904-B51C-50EA73BC54F1}"/>
  <tableColumns count="5">
    <tableColumn id="1" xr3:uid="{AE6AB0E6-FB25-4621-9741-C626DC707DD8}" uniqueName="1" name="status" queryTableFieldId="1" dataDxfId="15"/>
    <tableColumn id="2" xr3:uid="{9FFE108B-05BB-4F2F-ADE5-7C66D29B9678}" uniqueName="2" name="problem_order_count" queryTableFieldId="2"/>
    <tableColumn id="3" xr3:uid="{2ECAED9E-4805-4D49-BA49-6CBE05B54E5D}" uniqueName="3" name="lost_revenue" queryTableFieldId="3" dataDxfId="14"/>
    <tableColumn id="4" xr3:uid="{AF97D0AF-2EF3-47D7-9931-2DEBF232BC8F}" uniqueName="4" name="avg_order_value" queryTableFieldId="4" dataDxfId="13"/>
    <tableColumn id="5" xr3:uid="{504EFBC4-0862-4276-AFDF-DAA2E1DF392B}" uniqueName="5" name="percent_of_total_revenue(%)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983AD6-67C9-420B-A86B-08E82EB37BF4}" name="risk_summary_dashboard" displayName="risk_summary_dashboard" ref="A1:C7" tableType="queryTable" totalsRowShown="0">
  <autoFilter ref="A1:C7" xr:uid="{06983AD6-67C9-420B-A86B-08E82EB37BF4}"/>
  <tableColumns count="3">
    <tableColumn id="1" xr3:uid="{CD2897AF-33D8-406A-AE5C-1CEEA4600DD2}" uniqueName="1" name="risk_metric" queryTableFieldId="1" dataDxfId="12"/>
    <tableColumn id="2" xr3:uid="{0A4F8642-7F6E-4898-ADAB-30B5743AB2AA}" uniqueName="2" name="value" queryTableFieldId="2" dataDxfId="11"/>
    <tableColumn id="3" xr3:uid="{8A593F94-9F15-402F-8AA6-94EA8A80E47C}" uniqueName="3" name="impact" queryTableFieldId="3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50150E-21D4-459C-9FCA-83DFAE63DDF7}" name="pre_delivery_losses6" displayName="pre_delivery_losses6" ref="A1:F9" tableType="queryTable" totalsRowShown="0">
  <autoFilter ref="A1:F9" xr:uid="{5850150E-21D4-459C-9FCA-83DFAE63DDF7}"/>
  <tableColumns count="6">
    <tableColumn id="1" xr3:uid="{4DDE1C6A-A78F-43DE-B6E9-2F3A75120DC3}" uniqueName="1" name="status" queryTableFieldId="1" dataDxfId="6"/>
    <tableColumn id="2" xr3:uid="{B3CEEB8D-571E-4785-A2E4-2D3A8BFA7AEB}" uniqueName="2" name="problem_order_count" queryTableFieldId="2"/>
    <tableColumn id="3" xr3:uid="{719A6FB3-705E-494A-8F7B-E197816AE597}" uniqueName="3" name="lost_revenue" queryTableFieldId="3" dataDxfId="5" dataCellStyle="Currency"/>
    <tableColumn id="4" xr3:uid="{3E8CDE4E-DFD0-4C77-AA6E-354C38B58C30}" uniqueName="4" name="avg_order_value" queryTableFieldId="4" dataDxfId="0"/>
    <tableColumn id="5" xr3:uid="{DDED30E4-A20F-480B-8A72-737FA704C2C0}" uniqueName="5" name="percent_of_total_revenue(%)" queryTableFieldId="5"/>
    <tableColumn id="6" xr3:uid="{605ACE1B-B4EB-4FA6-95F7-DFEDF80A0D59}" uniqueName="6" name="sour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4B95-346A-4C2B-8105-A745959DE55D}">
  <dimension ref="A1:F12"/>
  <sheetViews>
    <sheetView tabSelected="1" workbookViewId="0">
      <selection activeCell="B14" sqref="B14"/>
    </sheetView>
  </sheetViews>
  <sheetFormatPr defaultRowHeight="15" x14ac:dyDescent="0.25"/>
  <cols>
    <col min="1" max="1" width="13.7109375" bestFit="1" customWidth="1"/>
    <col min="2" max="2" width="20.7109375" style="3" bestFit="1" customWidth="1"/>
    <col min="3" max="3" width="28" bestFit="1" customWidth="1"/>
    <col min="4" max="4" width="19.140625" bestFit="1" customWidth="1"/>
    <col min="5" max="5" width="35" bestFit="1" customWidth="1"/>
    <col min="6" max="6" width="32" bestFit="1" customWidth="1"/>
  </cols>
  <sheetData>
    <row r="1" spans="1:6" s="7" customFormat="1" x14ac:dyDescent="0.25">
      <c r="B1" s="4"/>
    </row>
    <row r="2" spans="1:6" s="7" customFormat="1" x14ac:dyDescent="0.25">
      <c r="A2" s="7" t="s">
        <v>50</v>
      </c>
      <c r="B2" s="4"/>
    </row>
    <row r="3" spans="1:6" x14ac:dyDescent="0.25">
      <c r="A3" s="5" t="s">
        <v>44</v>
      </c>
      <c r="B3" s="3" t="s">
        <v>49</v>
      </c>
      <c r="C3" t="s">
        <v>47</v>
      </c>
      <c r="D3" t="s">
        <v>46</v>
      </c>
      <c r="E3" t="s">
        <v>48</v>
      </c>
      <c r="F3" s="3" t="s">
        <v>51</v>
      </c>
    </row>
    <row r="4" spans="1:6" x14ac:dyDescent="0.25">
      <c r="A4" s="6" t="s">
        <v>1</v>
      </c>
      <c r="B4" s="3">
        <v>11216072.689999999</v>
      </c>
      <c r="C4" s="1">
        <v>5190</v>
      </c>
      <c r="D4" s="1">
        <v>14704</v>
      </c>
      <c r="E4" s="1">
        <v>11.42</v>
      </c>
      <c r="F4" s="3">
        <v>2161.0930038535644</v>
      </c>
    </row>
    <row r="5" spans="1:6" x14ac:dyDescent="0.25">
      <c r="A5" s="6" t="s">
        <v>2</v>
      </c>
      <c r="B5" s="3">
        <v>150667.98000000001</v>
      </c>
      <c r="C5" s="1">
        <v>139</v>
      </c>
      <c r="D5" s="1">
        <v>420</v>
      </c>
      <c r="E5" s="1">
        <v>11.19</v>
      </c>
      <c r="F5" s="3">
        <v>1083.9423021582734</v>
      </c>
    </row>
    <row r="6" spans="1:6" x14ac:dyDescent="0.25">
      <c r="A6" s="6" t="s">
        <v>3</v>
      </c>
      <c r="B6" s="3">
        <v>39204124.030000001</v>
      </c>
      <c r="C6" s="1">
        <v>10641</v>
      </c>
      <c r="D6" s="1">
        <v>47042</v>
      </c>
      <c r="E6" s="1">
        <v>10.72</v>
      </c>
      <c r="F6" s="3">
        <v>3684.2518588478529</v>
      </c>
    </row>
    <row r="7" spans="1:6" x14ac:dyDescent="0.25">
      <c r="A7" s="6" t="s">
        <v>4</v>
      </c>
      <c r="B7" s="3">
        <v>21299546.699999999</v>
      </c>
      <c r="C7" s="1">
        <v>10446</v>
      </c>
      <c r="D7" s="1">
        <v>46717</v>
      </c>
      <c r="E7" s="1">
        <v>10.59</v>
      </c>
      <c r="F7" s="3">
        <v>2039.0146180356116</v>
      </c>
    </row>
    <row r="8" spans="1:6" x14ac:dyDescent="0.25">
      <c r="A8" s="6" t="s">
        <v>5</v>
      </c>
      <c r="B8" s="3">
        <v>458408.18</v>
      </c>
      <c r="C8" s="1">
        <v>169</v>
      </c>
      <c r="D8" s="1">
        <v>881</v>
      </c>
      <c r="E8" s="1">
        <v>9.8800000000000008</v>
      </c>
      <c r="F8" s="3">
        <v>2712.4744378698224</v>
      </c>
    </row>
    <row r="9" spans="1:6" x14ac:dyDescent="0.25">
      <c r="A9" s="6" t="s">
        <v>6</v>
      </c>
      <c r="B9" s="3">
        <v>5347792.3</v>
      </c>
      <c r="C9" s="1">
        <v>1920</v>
      </c>
      <c r="D9" s="1">
        <v>10165</v>
      </c>
      <c r="E9" s="1">
        <v>9.4600000000000009</v>
      </c>
      <c r="F9" s="3">
        <v>2785.3084895833331</v>
      </c>
    </row>
    <row r="10" spans="1:6" x14ac:dyDescent="0.25">
      <c r="A10" s="6" t="s">
        <v>7</v>
      </c>
      <c r="B10" s="3">
        <v>791217.66</v>
      </c>
      <c r="C10" s="1">
        <v>234</v>
      </c>
      <c r="D10" s="1">
        <v>1093</v>
      </c>
      <c r="E10" s="1">
        <v>8.7799999999999994</v>
      </c>
      <c r="F10" s="3">
        <v>3381.2720512820515</v>
      </c>
    </row>
    <row r="11" spans="1:6" x14ac:dyDescent="0.25">
      <c r="A11" s="6" t="s">
        <v>8</v>
      </c>
      <c r="B11" s="3">
        <v>123933.75999999999</v>
      </c>
      <c r="C11" s="1">
        <v>22</v>
      </c>
      <c r="D11" s="1">
        <v>155</v>
      </c>
      <c r="E11" s="1">
        <v>8.39</v>
      </c>
      <c r="F11" s="3">
        <v>5633.352727272727</v>
      </c>
    </row>
    <row r="12" spans="1:6" x14ac:dyDescent="0.25">
      <c r="A12" s="6" t="s">
        <v>45</v>
      </c>
      <c r="B12" s="3">
        <v>78591763.299999997</v>
      </c>
      <c r="C12" s="1">
        <v>28761</v>
      </c>
      <c r="D12" s="1">
        <v>121177</v>
      </c>
      <c r="E12" s="1">
        <v>80.429999999999993</v>
      </c>
      <c r="F12" s="3">
        <v>2732.5810402976253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3622-D8CF-4C0A-BF5A-1B96EC355DB5}">
  <dimension ref="A1:H9"/>
  <sheetViews>
    <sheetView workbookViewId="0">
      <selection activeCell="C12" sqref="C12"/>
    </sheetView>
  </sheetViews>
  <sheetFormatPr defaultRowHeight="15" x14ac:dyDescent="0.25"/>
  <cols>
    <col min="1" max="1" width="13.7109375" bestFit="1" customWidth="1"/>
    <col min="2" max="2" width="14.140625" bestFit="1" customWidth="1"/>
    <col min="3" max="3" width="23.140625" bestFit="1" customWidth="1"/>
    <col min="4" max="4" width="22.42578125" bestFit="1" customWidth="1"/>
    <col min="5" max="5" width="23.42578125" bestFit="1" customWidth="1"/>
    <col min="6" max="6" width="30" bestFit="1" customWidth="1"/>
    <col min="7" max="7" width="15.85546875" style="3" bestFit="1" customWidth="1"/>
    <col min="8" max="8" width="13.42578125" bestFit="1" customWidth="1"/>
  </cols>
  <sheetData>
    <row r="1" spans="1:8" x14ac:dyDescent="0.25">
      <c r="A1" t="s">
        <v>0</v>
      </c>
      <c r="B1" t="s">
        <v>42</v>
      </c>
      <c r="C1" t="s">
        <v>41</v>
      </c>
      <c r="D1" t="s">
        <v>40</v>
      </c>
      <c r="E1" t="s">
        <v>39</v>
      </c>
      <c r="F1" t="s">
        <v>38</v>
      </c>
      <c r="G1" s="3" t="s">
        <v>37</v>
      </c>
      <c r="H1" s="4" t="s">
        <v>43</v>
      </c>
    </row>
    <row r="2" spans="1:8" x14ac:dyDescent="0.25">
      <c r="A2" s="1" t="s">
        <v>1</v>
      </c>
      <c r="B2">
        <v>14704</v>
      </c>
      <c r="C2">
        <v>5190</v>
      </c>
      <c r="D2">
        <v>1337</v>
      </c>
      <c r="E2">
        <v>342</v>
      </c>
      <c r="F2">
        <v>11.42</v>
      </c>
      <c r="G2" s="3">
        <v>11216072.689999999</v>
      </c>
      <c r="H2" s="3"/>
    </row>
    <row r="3" spans="1:8" x14ac:dyDescent="0.25">
      <c r="A3" s="1" t="s">
        <v>2</v>
      </c>
      <c r="B3">
        <v>420</v>
      </c>
      <c r="C3">
        <v>139</v>
      </c>
      <c r="D3">
        <v>41</v>
      </c>
      <c r="E3">
        <v>6</v>
      </c>
      <c r="F3">
        <v>11.19</v>
      </c>
      <c r="G3" s="3">
        <v>150667.98000000001</v>
      </c>
      <c r="H3" s="3"/>
    </row>
    <row r="4" spans="1:8" x14ac:dyDescent="0.25">
      <c r="A4" s="1" t="s">
        <v>3</v>
      </c>
      <c r="B4">
        <v>47042</v>
      </c>
      <c r="C4">
        <v>10641</v>
      </c>
      <c r="D4">
        <v>4207</v>
      </c>
      <c r="E4">
        <v>838</v>
      </c>
      <c r="F4">
        <v>10.72</v>
      </c>
      <c r="G4" s="3">
        <v>39204124.030000001</v>
      </c>
      <c r="H4" s="3"/>
    </row>
    <row r="5" spans="1:8" x14ac:dyDescent="0.25">
      <c r="A5" s="1" t="s">
        <v>4</v>
      </c>
      <c r="B5">
        <v>46717</v>
      </c>
      <c r="C5">
        <v>10446</v>
      </c>
      <c r="D5">
        <v>4199</v>
      </c>
      <c r="E5">
        <v>750</v>
      </c>
      <c r="F5">
        <v>10.59</v>
      </c>
      <c r="G5" s="3">
        <v>21299546.699999999</v>
      </c>
      <c r="H5" s="3"/>
    </row>
    <row r="6" spans="1:8" x14ac:dyDescent="0.25">
      <c r="A6" s="1" t="s">
        <v>5</v>
      </c>
      <c r="B6">
        <v>881</v>
      </c>
      <c r="C6">
        <v>169</v>
      </c>
      <c r="D6">
        <v>75</v>
      </c>
      <c r="E6">
        <v>12</v>
      </c>
      <c r="F6">
        <v>9.8800000000000008</v>
      </c>
      <c r="G6" s="3">
        <v>458408.18</v>
      </c>
      <c r="H6" s="3"/>
    </row>
    <row r="7" spans="1:8" x14ac:dyDescent="0.25">
      <c r="A7" s="1" t="s">
        <v>6</v>
      </c>
      <c r="B7">
        <v>10165</v>
      </c>
      <c r="C7">
        <v>1920</v>
      </c>
      <c r="D7">
        <v>831</v>
      </c>
      <c r="E7">
        <v>131</v>
      </c>
      <c r="F7">
        <v>9.4600000000000009</v>
      </c>
      <c r="G7" s="3">
        <v>5347792.3</v>
      </c>
      <c r="H7" s="3"/>
    </row>
    <row r="8" spans="1:8" x14ac:dyDescent="0.25">
      <c r="A8" s="1" t="s">
        <v>7</v>
      </c>
      <c r="B8">
        <v>1093</v>
      </c>
      <c r="C8">
        <v>234</v>
      </c>
      <c r="D8">
        <v>80</v>
      </c>
      <c r="E8">
        <v>16</v>
      </c>
      <c r="F8">
        <v>8.7799999999999994</v>
      </c>
      <c r="G8" s="3">
        <v>791217.66</v>
      </c>
      <c r="H8" s="3"/>
    </row>
    <row r="9" spans="1:8" x14ac:dyDescent="0.25">
      <c r="A9" s="1" t="s">
        <v>8</v>
      </c>
      <c r="B9">
        <v>155</v>
      </c>
      <c r="C9">
        <v>22</v>
      </c>
      <c r="D9">
        <v>12</v>
      </c>
      <c r="E9">
        <v>1</v>
      </c>
      <c r="F9">
        <v>8.39</v>
      </c>
      <c r="G9" s="3">
        <v>123933.75999999999</v>
      </c>
      <c r="H9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4F08-3E5D-4CEB-988A-2CFF737F3472}">
  <dimension ref="A1:E6"/>
  <sheetViews>
    <sheetView workbookViewId="0">
      <selection activeCell="E11" sqref="E11"/>
    </sheetView>
  </sheetViews>
  <sheetFormatPr defaultRowHeight="15" x14ac:dyDescent="0.25"/>
  <cols>
    <col min="1" max="1" width="26.85546875" bestFit="1" customWidth="1"/>
    <col min="2" max="2" width="22.85546875" bestFit="1" customWidth="1"/>
    <col min="3" max="3" width="19.5703125" style="2" bestFit="1" customWidth="1"/>
    <col min="4" max="4" width="17.85546875" style="3" bestFit="1" customWidth="1"/>
    <col min="5" max="5" width="29.85546875" bestFit="1" customWidth="1"/>
  </cols>
  <sheetData>
    <row r="1" spans="1:5" x14ac:dyDescent="0.25">
      <c r="A1" t="s">
        <v>9</v>
      </c>
      <c r="B1" t="s">
        <v>10</v>
      </c>
      <c r="C1" s="2" t="s">
        <v>18</v>
      </c>
      <c r="D1" s="3" t="s">
        <v>11</v>
      </c>
      <c r="E1" t="s">
        <v>12</v>
      </c>
    </row>
    <row r="2" spans="1:5" x14ac:dyDescent="0.25">
      <c r="A2" s="1" t="s">
        <v>13</v>
      </c>
      <c r="B2">
        <v>10766</v>
      </c>
      <c r="C2" s="2">
        <v>6919284.2999999998</v>
      </c>
      <c r="D2" s="3">
        <v>642.70000000000005</v>
      </c>
      <c r="E2">
        <v>8.8000000000000007</v>
      </c>
    </row>
    <row r="3" spans="1:5" x14ac:dyDescent="0.25">
      <c r="A3" s="1" t="s">
        <v>14</v>
      </c>
      <c r="B3">
        <v>656</v>
      </c>
      <c r="C3" s="2">
        <v>430271</v>
      </c>
      <c r="D3" s="3">
        <v>655.9</v>
      </c>
      <c r="E3">
        <v>0.55000000000000004</v>
      </c>
    </row>
    <row r="4" spans="1:5" x14ac:dyDescent="0.25">
      <c r="A4" s="1" t="s">
        <v>15</v>
      </c>
      <c r="B4">
        <v>281</v>
      </c>
      <c r="C4" s="2">
        <v>192138</v>
      </c>
      <c r="D4" s="3">
        <v>683.77</v>
      </c>
      <c r="E4">
        <v>0.24</v>
      </c>
    </row>
    <row r="5" spans="1:5" x14ac:dyDescent="0.25">
      <c r="A5" s="1" t="s">
        <v>16</v>
      </c>
      <c r="B5">
        <v>11</v>
      </c>
      <c r="C5" s="2">
        <v>7295</v>
      </c>
      <c r="D5" s="3">
        <v>663.18</v>
      </c>
      <c r="E5">
        <v>0.01</v>
      </c>
    </row>
    <row r="6" spans="1:5" x14ac:dyDescent="0.25">
      <c r="A6" s="1" t="s">
        <v>17</v>
      </c>
      <c r="B6">
        <v>5</v>
      </c>
      <c r="C6" s="2">
        <v>1997</v>
      </c>
      <c r="D6" s="3">
        <v>399.4</v>
      </c>
      <c r="E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82FD-A4CF-4B62-AEA3-B3E0ABF22CCC}">
  <dimension ref="A1:E4"/>
  <sheetViews>
    <sheetView workbookViewId="0">
      <selection activeCell="A2" sqref="A2:E4"/>
    </sheetView>
  </sheetViews>
  <sheetFormatPr defaultRowHeight="15" x14ac:dyDescent="0.25"/>
  <cols>
    <col min="1" max="1" width="26.140625" bestFit="1" customWidth="1"/>
    <col min="2" max="2" width="22.85546875" bestFit="1" customWidth="1"/>
    <col min="3" max="3" width="15" style="3" bestFit="1" customWidth="1"/>
    <col min="4" max="4" width="17.85546875" style="3" bestFit="1" customWidth="1"/>
    <col min="5" max="5" width="26.7109375" bestFit="1" customWidth="1"/>
  </cols>
  <sheetData>
    <row r="1" spans="1:5" x14ac:dyDescent="0.25">
      <c r="A1" t="s">
        <v>9</v>
      </c>
      <c r="B1" t="s">
        <v>10</v>
      </c>
      <c r="C1" s="3" t="s">
        <v>18</v>
      </c>
      <c r="D1" s="3" t="s">
        <v>11</v>
      </c>
      <c r="E1" t="s">
        <v>12</v>
      </c>
    </row>
    <row r="2" spans="1:5" x14ac:dyDescent="0.25">
      <c r="A2" s="1" t="s">
        <v>19</v>
      </c>
      <c r="B2">
        <v>1950</v>
      </c>
      <c r="C2" s="3">
        <v>1269644</v>
      </c>
      <c r="D2" s="3">
        <v>651.1</v>
      </c>
      <c r="E2">
        <v>1.62</v>
      </c>
    </row>
    <row r="3" spans="1:5" x14ac:dyDescent="0.25">
      <c r="A3" s="1" t="s">
        <v>20</v>
      </c>
      <c r="B3">
        <v>145</v>
      </c>
      <c r="C3" s="3">
        <v>107620</v>
      </c>
      <c r="D3" s="3">
        <v>742.21</v>
      </c>
      <c r="E3">
        <v>0.14000000000000001</v>
      </c>
    </row>
    <row r="4" spans="1:5" x14ac:dyDescent="0.25">
      <c r="A4" s="1" t="s">
        <v>21</v>
      </c>
      <c r="B4">
        <v>1</v>
      </c>
      <c r="C4" s="3">
        <v>1136</v>
      </c>
      <c r="D4" s="3">
        <v>1136</v>
      </c>
      <c r="E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23C4-EB2E-4FFC-BC28-0296AE54E7E9}">
  <dimension ref="A1:C7"/>
  <sheetViews>
    <sheetView topLeftCell="C1" workbookViewId="0">
      <selection activeCell="B1" sqref="B1:B7"/>
    </sheetView>
  </sheetViews>
  <sheetFormatPr defaultRowHeight="15" x14ac:dyDescent="0.25"/>
  <cols>
    <col min="1" max="1" width="30.28515625" bestFit="1" customWidth="1"/>
    <col min="2" max="2" width="13.85546875" bestFit="1" customWidth="1"/>
    <col min="3" max="3" width="49.140625" bestFit="1" customWidth="1"/>
  </cols>
  <sheetData>
    <row r="1" spans="1:3" x14ac:dyDescent="0.25">
      <c r="A1" t="s">
        <v>22</v>
      </c>
      <c r="B1" s="3" t="s">
        <v>23</v>
      </c>
      <c r="C1" t="s">
        <v>24</v>
      </c>
    </row>
    <row r="2" spans="1:3" x14ac:dyDescent="0.25">
      <c r="A2" s="1" t="s">
        <v>25</v>
      </c>
      <c r="B2" s="3">
        <v>51012478</v>
      </c>
      <c r="C2" s="1" t="s">
        <v>26</v>
      </c>
    </row>
    <row r="3" spans="1:3" x14ac:dyDescent="0.25">
      <c r="A3" s="1" t="s">
        <v>27</v>
      </c>
      <c r="B3" s="3">
        <v>1378400</v>
      </c>
      <c r="C3" s="1" t="s">
        <v>28</v>
      </c>
    </row>
    <row r="4" spans="1:3" x14ac:dyDescent="0.25">
      <c r="A4" s="1" t="s">
        <v>29</v>
      </c>
      <c r="B4" s="3">
        <v>58.45</v>
      </c>
      <c r="C4" s="1" t="s">
        <v>30</v>
      </c>
    </row>
    <row r="5" spans="1:3" x14ac:dyDescent="0.25">
      <c r="A5" s="1" t="s">
        <v>31</v>
      </c>
      <c r="B5" s="3">
        <v>7550985.2999999998</v>
      </c>
      <c r="C5" s="1" t="s">
        <v>32</v>
      </c>
    </row>
    <row r="6" spans="1:3" x14ac:dyDescent="0.25">
      <c r="A6" s="1" t="s">
        <v>33</v>
      </c>
      <c r="B6" s="3">
        <v>55844012.710000001</v>
      </c>
      <c r="C6" s="1" t="s">
        <v>34</v>
      </c>
    </row>
    <row r="7" spans="1:3" x14ac:dyDescent="0.25">
      <c r="A7" s="1" t="s">
        <v>35</v>
      </c>
      <c r="B7" s="3">
        <v>13819280.289999999</v>
      </c>
      <c r="C7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2BC3-EA1E-48B7-BF50-CB6C95810D86}">
  <dimension ref="A1:C12"/>
  <sheetViews>
    <sheetView workbookViewId="0">
      <selection activeCell="G4" sqref="G4"/>
    </sheetView>
  </sheetViews>
  <sheetFormatPr defaultRowHeight="15" x14ac:dyDescent="0.25"/>
  <cols>
    <col min="1" max="1" width="26.85546875" bestFit="1" customWidth="1"/>
    <col min="2" max="2" width="19.7109375" style="3" bestFit="1" customWidth="1"/>
    <col min="3" max="3" width="27.5703125" bestFit="1" customWidth="1"/>
  </cols>
  <sheetData>
    <row r="1" spans="1:3" x14ac:dyDescent="0.25">
      <c r="A1" s="5" t="s">
        <v>52</v>
      </c>
      <c r="B1" s="3" t="s">
        <v>55</v>
      </c>
    </row>
    <row r="3" spans="1:3" x14ac:dyDescent="0.25">
      <c r="A3" s="5" t="s">
        <v>44</v>
      </c>
      <c r="B3" s="3" t="s">
        <v>56</v>
      </c>
      <c r="C3" t="s">
        <v>57</v>
      </c>
    </row>
    <row r="4" spans="1:3" x14ac:dyDescent="0.25">
      <c r="A4" s="6" t="s">
        <v>13</v>
      </c>
      <c r="B4" s="3">
        <v>6919284.2999999998</v>
      </c>
      <c r="C4" s="1">
        <v>10766</v>
      </c>
    </row>
    <row r="5" spans="1:3" x14ac:dyDescent="0.25">
      <c r="A5" s="6" t="s">
        <v>14</v>
      </c>
      <c r="B5" s="3">
        <v>430271</v>
      </c>
      <c r="C5" s="1">
        <v>656</v>
      </c>
    </row>
    <row r="6" spans="1:3" x14ac:dyDescent="0.25">
      <c r="A6" s="6" t="s">
        <v>15</v>
      </c>
      <c r="B6" s="3">
        <v>192138</v>
      </c>
      <c r="C6" s="1">
        <v>281</v>
      </c>
    </row>
    <row r="7" spans="1:3" x14ac:dyDescent="0.25">
      <c r="A7" s="6" t="s">
        <v>21</v>
      </c>
      <c r="B7" s="3">
        <v>1136</v>
      </c>
      <c r="C7" s="1">
        <v>1</v>
      </c>
    </row>
    <row r="8" spans="1:3" x14ac:dyDescent="0.25">
      <c r="A8" s="6" t="s">
        <v>17</v>
      </c>
      <c r="B8" s="3">
        <v>1997</v>
      </c>
      <c r="C8" s="1">
        <v>5</v>
      </c>
    </row>
    <row r="9" spans="1:3" x14ac:dyDescent="0.25">
      <c r="A9" s="6" t="s">
        <v>16</v>
      </c>
      <c r="B9" s="3">
        <v>7295</v>
      </c>
      <c r="C9" s="1">
        <v>11</v>
      </c>
    </row>
    <row r="10" spans="1:3" x14ac:dyDescent="0.25">
      <c r="A10" s="6" t="s">
        <v>19</v>
      </c>
      <c r="B10" s="3">
        <v>1269644</v>
      </c>
      <c r="C10" s="1">
        <v>1950</v>
      </c>
    </row>
    <row r="11" spans="1:3" x14ac:dyDescent="0.25">
      <c r="A11" s="6" t="s">
        <v>20</v>
      </c>
      <c r="B11" s="3">
        <v>107620</v>
      </c>
      <c r="C11" s="1">
        <v>145</v>
      </c>
    </row>
    <row r="12" spans="1:3" x14ac:dyDescent="0.25">
      <c r="A12" s="6" t="s">
        <v>45</v>
      </c>
      <c r="B12" s="3">
        <v>8929385.3000000007</v>
      </c>
      <c r="C12" s="1">
        <v>13815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270A-5101-455F-AE6E-A481756E8F8D}">
  <dimension ref="A1:F9"/>
  <sheetViews>
    <sheetView workbookViewId="0">
      <selection activeCell="G10" sqref="G10"/>
    </sheetView>
  </sheetViews>
  <sheetFormatPr defaultRowHeight="15" x14ac:dyDescent="0.25"/>
  <cols>
    <col min="2" max="2" width="22.85546875" bestFit="1" customWidth="1"/>
    <col min="3" max="3" width="12.7109375" bestFit="1" customWidth="1"/>
    <col min="4" max="4" width="18.7109375" style="3" bestFit="1" customWidth="1"/>
    <col min="5" max="5" width="29.85546875" bestFit="1" customWidth="1"/>
    <col min="6" max="6" width="11.42578125" bestFit="1" customWidth="1"/>
  </cols>
  <sheetData>
    <row r="1" spans="1:6" x14ac:dyDescent="0.25">
      <c r="A1" t="s">
        <v>9</v>
      </c>
      <c r="B1" t="s">
        <v>10</v>
      </c>
      <c r="C1" s="2" t="s">
        <v>18</v>
      </c>
      <c r="D1" s="3" t="s">
        <v>11</v>
      </c>
      <c r="E1" t="s">
        <v>12</v>
      </c>
      <c r="F1" t="s">
        <v>52</v>
      </c>
    </row>
    <row r="2" spans="1:6" x14ac:dyDescent="0.25">
      <c r="A2" s="1" t="s">
        <v>13</v>
      </c>
      <c r="B2">
        <v>10766</v>
      </c>
      <c r="C2" s="2">
        <v>6919284.2999999998</v>
      </c>
      <c r="D2" s="3">
        <v>642.70000000000005</v>
      </c>
      <c r="E2">
        <v>8.8000000000000007</v>
      </c>
      <c r="F2" t="s">
        <v>53</v>
      </c>
    </row>
    <row r="3" spans="1:6" x14ac:dyDescent="0.25">
      <c r="A3" s="1" t="s">
        <v>14</v>
      </c>
      <c r="B3">
        <v>656</v>
      </c>
      <c r="C3" s="2">
        <v>430271</v>
      </c>
      <c r="D3" s="3">
        <v>655.9</v>
      </c>
      <c r="E3">
        <v>0.55000000000000004</v>
      </c>
      <c r="F3" t="s">
        <v>53</v>
      </c>
    </row>
    <row r="4" spans="1:6" x14ac:dyDescent="0.25">
      <c r="A4" s="1" t="s">
        <v>15</v>
      </c>
      <c r="B4">
        <v>281</v>
      </c>
      <c r="C4" s="2">
        <v>192138</v>
      </c>
      <c r="D4" s="3">
        <v>683.77</v>
      </c>
      <c r="E4">
        <v>0.24</v>
      </c>
      <c r="F4" t="s">
        <v>53</v>
      </c>
    </row>
    <row r="5" spans="1:6" x14ac:dyDescent="0.25">
      <c r="A5" s="1" t="s">
        <v>16</v>
      </c>
      <c r="B5">
        <v>11</v>
      </c>
      <c r="C5" s="2">
        <v>7295</v>
      </c>
      <c r="D5" s="3">
        <v>663.18</v>
      </c>
      <c r="E5">
        <v>0.01</v>
      </c>
      <c r="F5" t="s">
        <v>53</v>
      </c>
    </row>
    <row r="6" spans="1:6" x14ac:dyDescent="0.25">
      <c r="A6" s="1" t="s">
        <v>17</v>
      </c>
      <c r="B6">
        <v>5</v>
      </c>
      <c r="C6" s="2">
        <v>1997</v>
      </c>
      <c r="D6" s="3">
        <v>399.4</v>
      </c>
      <c r="E6">
        <v>0</v>
      </c>
      <c r="F6" t="s">
        <v>53</v>
      </c>
    </row>
    <row r="7" spans="1:6" x14ac:dyDescent="0.25">
      <c r="A7" s="1" t="s">
        <v>19</v>
      </c>
      <c r="B7">
        <v>1950</v>
      </c>
      <c r="C7" s="2">
        <v>1269644</v>
      </c>
      <c r="D7" s="3">
        <v>651.1</v>
      </c>
      <c r="E7">
        <v>1.62</v>
      </c>
      <c r="F7" t="s">
        <v>54</v>
      </c>
    </row>
    <row r="8" spans="1:6" x14ac:dyDescent="0.25">
      <c r="A8" s="1" t="s">
        <v>20</v>
      </c>
      <c r="B8">
        <v>145</v>
      </c>
      <c r="C8" s="2">
        <v>107620</v>
      </c>
      <c r="D8" s="3">
        <v>742.21</v>
      </c>
      <c r="E8">
        <v>0.14000000000000001</v>
      </c>
      <c r="F8" t="s">
        <v>54</v>
      </c>
    </row>
    <row r="9" spans="1:6" x14ac:dyDescent="0.25">
      <c r="A9" s="1" t="s">
        <v>21</v>
      </c>
      <c r="B9">
        <v>1</v>
      </c>
      <c r="C9" s="2">
        <v>1136</v>
      </c>
      <c r="D9" s="3">
        <v>1136</v>
      </c>
      <c r="E9">
        <v>0</v>
      </c>
      <c r="F9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426509-99F4-4D5B-B742-151FD3A921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Category_pivot_tbl</vt:lpstr>
      <vt:lpstr>Category_data</vt:lpstr>
      <vt:lpstr>pre_delivery_losses</vt:lpstr>
      <vt:lpstr>post_delivery_losses</vt:lpstr>
      <vt:lpstr>risk_summary_dashboard</vt:lpstr>
      <vt:lpstr>pivot_loss_drivers</vt:lpstr>
      <vt:lpstr>Consolidated_losses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Sharma</dc:creator>
  <cp:lastModifiedBy>Saransh Sharma</cp:lastModifiedBy>
  <dcterms:created xsi:type="dcterms:W3CDTF">2025-11-28T09:48:17Z</dcterms:created>
  <dcterms:modified xsi:type="dcterms:W3CDTF">2025-11-28T14:31:51Z</dcterms:modified>
</cp:coreProperties>
</file>